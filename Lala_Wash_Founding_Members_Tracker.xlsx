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₱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4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26" customWidth="1" min="4" max="4"/>
    <col width="13" customWidth="1" min="5" max="5"/>
    <col width="10" customWidth="1" min="6" max="6"/>
    <col width="12" customWidth="1" min="7" max="7"/>
    <col width="13" customWidth="1" min="8" max="8"/>
    <col width="14" customWidth="1" min="9" max="9"/>
    <col width="12" customWidth="1" min="10" max="10"/>
    <col width="15" customWidth="1" min="11" max="11"/>
    <col width="18" customWidth="1" min="12" max="12"/>
    <col width="16" customWidth="1" min="13" max="13"/>
    <col width="15" customWidth="1" min="14" max="14"/>
    <col width="24" customWidth="1" min="15" max="15"/>
  </cols>
  <sheetData>
    <row r="1">
      <c r="A1" s="1" t="inlineStr">
        <is>
          <t>Slot #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Reserved Date</t>
        </is>
      </c>
      <c r="F1" s="1" t="inlineStr">
        <is>
          <t>Tier</t>
        </is>
      </c>
      <c r="G1" s="1" t="inlineStr">
        <is>
          <t>Load Amount</t>
        </is>
      </c>
      <c r="H1" s="1" t="inlineStr">
        <is>
          <t>Bonus Credits</t>
        </is>
      </c>
      <c r="I1" s="1" t="inlineStr">
        <is>
          <t>First Load Date</t>
        </is>
      </c>
      <c r="J1" s="1" t="inlineStr">
        <is>
          <t>Perks Expiry</t>
        </is>
      </c>
      <c r="K1" s="1" t="inlineStr">
        <is>
          <t>Perks Status</t>
        </is>
      </c>
      <c r="L1" s="1" t="inlineStr">
        <is>
          <t>Bonus Credits Expiry</t>
        </is>
      </c>
      <c r="M1" s="1" t="inlineStr">
        <is>
          <t>Referred By</t>
        </is>
      </c>
      <c r="N1" s="1" t="inlineStr">
        <is>
          <t>Birthday Month</t>
        </is>
      </c>
      <c r="O1" s="1" t="inlineStr">
        <is>
          <t>Notes</t>
        </is>
      </c>
    </row>
    <row r="2">
      <c r="A2" s="2" t="n">
        <v>1</v>
      </c>
      <c r="B2" s="3" t="inlineStr">
        <is>
          <t>Juan dela Cruz</t>
        </is>
      </c>
      <c r="C2" s="3" t="inlineStr">
        <is>
          <t>0917 123 4567</t>
        </is>
      </c>
      <c r="D2" s="3" t="inlineStr">
        <is>
          <t>juan@example.com</t>
        </is>
      </c>
      <c r="E2" s="4" t="n">
        <v>46221</v>
      </c>
      <c r="F2" s="3" t="inlineStr">
        <is>
          <t>Founder</t>
        </is>
      </c>
      <c r="G2" s="5" t="n">
        <v>2000</v>
      </c>
      <c r="H2" s="6">
        <f>IF(F2="Founder",300,IF(F2="Starter",100,""))</f>
        <v/>
      </c>
      <c r="I2" s="4" t="n">
        <v>46223</v>
      </c>
      <c r="J2" s="7">
        <f>IF(I2="","",I2+IF(F2="Founder",90,30))</f>
        <v/>
      </c>
      <c r="K2" s="2">
        <f>IF(I2="","NOT LOADED",IF(TODAY()&gt;J2,"EXPIRED",IF(J2-TODAY()&lt;=7,"EXPIRING SOON","ACTIVE")))</f>
        <v/>
      </c>
      <c r="L2" s="7">
        <f>IF(I2="","",I2+90)</f>
        <v/>
      </c>
      <c r="M2" s="3" t="inlineStr">
        <is>
          <t>Maria Santos</t>
        </is>
      </c>
      <c r="N2" s="3" t="inlineStr">
        <is>
          <t>March</t>
        </is>
      </c>
      <c r="O2" s="3" t="inlineStr">
        <is>
          <t>Example row — replace with real data</t>
        </is>
      </c>
    </row>
    <row r="3">
      <c r="A3" s="2" t="n">
        <v>2</v>
      </c>
      <c r="B3" s="3" t="n"/>
      <c r="C3" s="3" t="n"/>
      <c r="D3" s="3" t="n"/>
      <c r="E3" s="4" t="n"/>
      <c r="F3" s="3" t="n"/>
      <c r="G3" s="5" t="n"/>
      <c r="H3" s="6">
        <f>IF(F3="Founder",300,IF(F3="Starter",100,""))</f>
        <v/>
      </c>
      <c r="I3" s="4" t="n"/>
      <c r="J3" s="7">
        <f>IF(I3="","",I3+IF(F3="Founder",90,30))</f>
        <v/>
      </c>
      <c r="K3" s="2">
        <f>IF(I3="","NOT LOADED",IF(TODAY()&gt;J3,"EXPIRED",IF(J3-TODAY()&lt;=7,"EXPIRING SOON","ACTIVE")))</f>
        <v/>
      </c>
      <c r="L3" s="7">
        <f>IF(I3="","",I3+90)</f>
        <v/>
      </c>
      <c r="M3" s="3" t="n"/>
      <c r="N3" s="3" t="n"/>
      <c r="O3" s="3" t="n"/>
    </row>
    <row r="4">
      <c r="A4" s="2" t="n">
        <v>3</v>
      </c>
      <c r="B4" s="3" t="n"/>
      <c r="C4" s="3" t="n"/>
      <c r="D4" s="3" t="n"/>
      <c r="E4" s="4" t="n"/>
      <c r="F4" s="3" t="n"/>
      <c r="G4" s="5" t="n"/>
      <c r="H4" s="6">
        <f>IF(F4="Founder",300,IF(F4="Starter",100,""))</f>
        <v/>
      </c>
      <c r="I4" s="4" t="n"/>
      <c r="J4" s="7">
        <f>IF(I4="","",I4+IF(F4="Founder",90,30))</f>
        <v/>
      </c>
      <c r="K4" s="2">
        <f>IF(I4="","NOT LOADED",IF(TODAY()&gt;J4,"EXPIRED",IF(J4-TODAY()&lt;=7,"EXPIRING SOON","ACTIVE")))</f>
        <v/>
      </c>
      <c r="L4" s="7">
        <f>IF(I4="","",I4+90)</f>
        <v/>
      </c>
      <c r="M4" s="3" t="n"/>
      <c r="N4" s="3" t="n"/>
      <c r="O4" s="3" t="n"/>
    </row>
    <row r="5">
      <c r="A5" s="2" t="n">
        <v>4</v>
      </c>
      <c r="B5" s="3" t="n"/>
      <c r="C5" s="3" t="n"/>
      <c r="D5" s="3" t="n"/>
      <c r="E5" s="4" t="n"/>
      <c r="F5" s="3" t="n"/>
      <c r="G5" s="5" t="n"/>
      <c r="H5" s="6">
        <f>IF(F5="Founder",300,IF(F5="Starter",100,""))</f>
        <v/>
      </c>
      <c r="I5" s="4" t="n"/>
      <c r="J5" s="7">
        <f>IF(I5="","",I5+IF(F5="Founder",90,30))</f>
        <v/>
      </c>
      <c r="K5" s="2">
        <f>IF(I5="","NOT LOADED",IF(TODAY()&gt;J5,"EXPIRED",IF(J5-TODAY()&lt;=7,"EXPIRING SOON","ACTIVE")))</f>
        <v/>
      </c>
      <c r="L5" s="7">
        <f>IF(I5="","",I5+90)</f>
        <v/>
      </c>
      <c r="M5" s="3" t="n"/>
      <c r="N5" s="3" t="n"/>
      <c r="O5" s="3" t="n"/>
    </row>
    <row r="6">
      <c r="A6" s="2" t="n">
        <v>5</v>
      </c>
      <c r="B6" s="3" t="n"/>
      <c r="C6" s="3" t="n"/>
      <c r="D6" s="3" t="n"/>
      <c r="E6" s="4" t="n"/>
      <c r="F6" s="3" t="n"/>
      <c r="G6" s="5" t="n"/>
      <c r="H6" s="6">
        <f>IF(F6="Founder",300,IF(F6="Starter",100,""))</f>
        <v/>
      </c>
      <c r="I6" s="4" t="n"/>
      <c r="J6" s="7">
        <f>IF(I6="","",I6+IF(F6="Founder",90,30))</f>
        <v/>
      </c>
      <c r="K6" s="2">
        <f>IF(I6="","NOT LOADED",IF(TODAY()&gt;J6,"EXPIRED",IF(J6-TODAY()&lt;=7,"EXPIRING SOON","ACTIVE")))</f>
        <v/>
      </c>
      <c r="L6" s="7">
        <f>IF(I6="","",I6+90)</f>
        <v/>
      </c>
      <c r="M6" s="3" t="n"/>
      <c r="N6" s="3" t="n"/>
      <c r="O6" s="3" t="n"/>
    </row>
    <row r="7">
      <c r="A7" s="2" t="n">
        <v>6</v>
      </c>
      <c r="B7" s="3" t="n"/>
      <c r="C7" s="3" t="n"/>
      <c r="D7" s="3" t="n"/>
      <c r="E7" s="4" t="n"/>
      <c r="F7" s="3" t="n"/>
      <c r="G7" s="5" t="n"/>
      <c r="H7" s="6">
        <f>IF(F7="Founder",300,IF(F7="Starter",100,""))</f>
        <v/>
      </c>
      <c r="I7" s="4" t="n"/>
      <c r="J7" s="7">
        <f>IF(I7="","",I7+IF(F7="Founder",90,30))</f>
        <v/>
      </c>
      <c r="K7" s="2">
        <f>IF(I7="","NOT LOADED",IF(TODAY()&gt;J7,"EXPIRED",IF(J7-TODAY()&lt;=7,"EXPIRING SOON","ACTIVE")))</f>
        <v/>
      </c>
      <c r="L7" s="7">
        <f>IF(I7="","",I7+90)</f>
        <v/>
      </c>
      <c r="M7" s="3" t="n"/>
      <c r="N7" s="3" t="n"/>
      <c r="O7" s="3" t="n"/>
    </row>
    <row r="8">
      <c r="A8" s="2" t="n">
        <v>7</v>
      </c>
      <c r="B8" s="3" t="n"/>
      <c r="C8" s="3" t="n"/>
      <c r="D8" s="3" t="n"/>
      <c r="E8" s="4" t="n"/>
      <c r="F8" s="3" t="n"/>
      <c r="G8" s="5" t="n"/>
      <c r="H8" s="6">
        <f>IF(F8="Founder",300,IF(F8="Starter",100,""))</f>
        <v/>
      </c>
      <c r="I8" s="4" t="n"/>
      <c r="J8" s="7">
        <f>IF(I8="","",I8+IF(F8="Founder",90,30))</f>
        <v/>
      </c>
      <c r="K8" s="2">
        <f>IF(I8="","NOT LOADED",IF(TODAY()&gt;J8,"EXPIRED",IF(J8-TODAY()&lt;=7,"EXPIRING SOON","ACTIVE")))</f>
        <v/>
      </c>
      <c r="L8" s="7">
        <f>IF(I8="","",I8+90)</f>
        <v/>
      </c>
      <c r="M8" s="3" t="n"/>
      <c r="N8" s="3" t="n"/>
      <c r="O8" s="3" t="n"/>
    </row>
    <row r="9">
      <c r="A9" s="2" t="n">
        <v>8</v>
      </c>
      <c r="B9" s="3" t="n"/>
      <c r="C9" s="3" t="n"/>
      <c r="D9" s="3" t="n"/>
      <c r="E9" s="4" t="n"/>
      <c r="F9" s="3" t="n"/>
      <c r="G9" s="5" t="n"/>
      <c r="H9" s="6">
        <f>IF(F9="Founder",300,IF(F9="Starter",100,""))</f>
        <v/>
      </c>
      <c r="I9" s="4" t="n"/>
      <c r="J9" s="7">
        <f>IF(I9="","",I9+IF(F9="Founder",90,30))</f>
        <v/>
      </c>
      <c r="K9" s="2">
        <f>IF(I9="","NOT LOADED",IF(TODAY()&gt;J9,"EXPIRED",IF(J9-TODAY()&lt;=7,"EXPIRING SOON","ACTIVE")))</f>
        <v/>
      </c>
      <c r="L9" s="7">
        <f>IF(I9="","",I9+90)</f>
        <v/>
      </c>
      <c r="M9" s="3" t="n"/>
      <c r="N9" s="3" t="n"/>
      <c r="O9" s="3" t="n"/>
    </row>
    <row r="10">
      <c r="A10" s="2" t="n">
        <v>9</v>
      </c>
      <c r="B10" s="3" t="n"/>
      <c r="C10" s="3" t="n"/>
      <c r="D10" s="3" t="n"/>
      <c r="E10" s="4" t="n"/>
      <c r="F10" s="3" t="n"/>
      <c r="G10" s="5" t="n"/>
      <c r="H10" s="6">
        <f>IF(F10="Founder",300,IF(F10="Starter",100,""))</f>
        <v/>
      </c>
      <c r="I10" s="4" t="n"/>
      <c r="J10" s="7">
        <f>IF(I10="","",I10+IF(F10="Founder",90,30))</f>
        <v/>
      </c>
      <c r="K10" s="2">
        <f>IF(I10="","NOT LOADED",IF(TODAY()&gt;J10,"EXPIRED",IF(J10-TODAY()&lt;=7,"EXPIRING SOON","ACTIVE")))</f>
        <v/>
      </c>
      <c r="L10" s="7">
        <f>IF(I10="","",I10+90)</f>
        <v/>
      </c>
      <c r="M10" s="3" t="n"/>
      <c r="N10" s="3" t="n"/>
      <c r="O10" s="3" t="n"/>
    </row>
    <row r="11">
      <c r="A11" s="2" t="n">
        <v>10</v>
      </c>
      <c r="B11" s="3" t="n"/>
      <c r="C11" s="3" t="n"/>
      <c r="D11" s="3" t="n"/>
      <c r="E11" s="4" t="n"/>
      <c r="F11" s="3" t="n"/>
      <c r="G11" s="5" t="n"/>
      <c r="H11" s="6">
        <f>IF(F11="Founder",300,IF(F11="Starter",100,""))</f>
        <v/>
      </c>
      <c r="I11" s="4" t="n"/>
      <c r="J11" s="7">
        <f>IF(I11="","",I11+IF(F11="Founder",90,30))</f>
        <v/>
      </c>
      <c r="K11" s="2">
        <f>IF(I11="","NOT LOADED",IF(TODAY()&gt;J11,"EXPIRED",IF(J11-TODAY()&lt;=7,"EXPIRING SOON","ACTIVE")))</f>
        <v/>
      </c>
      <c r="L11" s="7">
        <f>IF(I11="","",I11+90)</f>
        <v/>
      </c>
      <c r="M11" s="3" t="n"/>
      <c r="N11" s="3" t="n"/>
      <c r="O11" s="3" t="n"/>
    </row>
    <row r="12">
      <c r="A12" s="2" t="n">
        <v>11</v>
      </c>
      <c r="B12" s="3" t="n"/>
      <c r="C12" s="3" t="n"/>
      <c r="D12" s="3" t="n"/>
      <c r="E12" s="4" t="n"/>
      <c r="F12" s="3" t="n"/>
      <c r="G12" s="5" t="n"/>
      <c r="H12" s="6">
        <f>IF(F12="Founder",300,IF(F12="Starter",100,""))</f>
        <v/>
      </c>
      <c r="I12" s="4" t="n"/>
      <c r="J12" s="7">
        <f>IF(I12="","",I12+IF(F12="Founder",90,30))</f>
        <v/>
      </c>
      <c r="K12" s="2">
        <f>IF(I12="","NOT LOADED",IF(TODAY()&gt;J12,"EXPIRED",IF(J12-TODAY()&lt;=7,"EXPIRING SOON","ACTIVE")))</f>
        <v/>
      </c>
      <c r="L12" s="7">
        <f>IF(I12="","",I12+90)</f>
        <v/>
      </c>
      <c r="M12" s="3" t="n"/>
      <c r="N12" s="3" t="n"/>
      <c r="O12" s="3" t="n"/>
    </row>
    <row r="13">
      <c r="A13" s="2" t="n">
        <v>12</v>
      </c>
      <c r="B13" s="3" t="n"/>
      <c r="C13" s="3" t="n"/>
      <c r="D13" s="3" t="n"/>
      <c r="E13" s="4" t="n"/>
      <c r="F13" s="3" t="n"/>
      <c r="G13" s="5" t="n"/>
      <c r="H13" s="6">
        <f>IF(F13="Founder",300,IF(F13="Starter",100,""))</f>
        <v/>
      </c>
      <c r="I13" s="4" t="n"/>
      <c r="J13" s="7">
        <f>IF(I13="","",I13+IF(F13="Founder",90,30))</f>
        <v/>
      </c>
      <c r="K13" s="2">
        <f>IF(I13="","NOT LOADED",IF(TODAY()&gt;J13,"EXPIRED",IF(J13-TODAY()&lt;=7,"EXPIRING SOON","ACTIVE")))</f>
        <v/>
      </c>
      <c r="L13" s="7">
        <f>IF(I13="","",I13+90)</f>
        <v/>
      </c>
      <c r="M13" s="3" t="n"/>
      <c r="N13" s="3" t="n"/>
      <c r="O13" s="3" t="n"/>
    </row>
    <row r="14">
      <c r="A14" s="2" t="n">
        <v>13</v>
      </c>
      <c r="B14" s="3" t="n"/>
      <c r="C14" s="3" t="n"/>
      <c r="D14" s="3" t="n"/>
      <c r="E14" s="4" t="n"/>
      <c r="F14" s="3" t="n"/>
      <c r="G14" s="5" t="n"/>
      <c r="H14" s="6">
        <f>IF(F14="Founder",300,IF(F14="Starter",100,""))</f>
        <v/>
      </c>
      <c r="I14" s="4" t="n"/>
      <c r="J14" s="7">
        <f>IF(I14="","",I14+IF(F14="Founder",90,30))</f>
        <v/>
      </c>
      <c r="K14" s="2">
        <f>IF(I14="","NOT LOADED",IF(TODAY()&gt;J14,"EXPIRED",IF(J14-TODAY()&lt;=7,"EXPIRING SOON","ACTIVE")))</f>
        <v/>
      </c>
      <c r="L14" s="7">
        <f>IF(I14="","",I14+90)</f>
        <v/>
      </c>
      <c r="M14" s="3" t="n"/>
      <c r="N14" s="3" t="n"/>
      <c r="O14" s="3" t="n"/>
    </row>
    <row r="15">
      <c r="A15" s="2" t="n">
        <v>14</v>
      </c>
      <c r="B15" s="3" t="n"/>
      <c r="C15" s="3" t="n"/>
      <c r="D15" s="3" t="n"/>
      <c r="E15" s="4" t="n"/>
      <c r="F15" s="3" t="n"/>
      <c r="G15" s="5" t="n"/>
      <c r="H15" s="6">
        <f>IF(F15="Founder",300,IF(F15="Starter",100,""))</f>
        <v/>
      </c>
      <c r="I15" s="4" t="n"/>
      <c r="J15" s="7">
        <f>IF(I15="","",I15+IF(F15="Founder",90,30))</f>
        <v/>
      </c>
      <c r="K15" s="2">
        <f>IF(I15="","NOT LOADED",IF(TODAY()&gt;J15,"EXPIRED",IF(J15-TODAY()&lt;=7,"EXPIRING SOON","ACTIVE")))</f>
        <v/>
      </c>
      <c r="L15" s="7">
        <f>IF(I15="","",I15+90)</f>
        <v/>
      </c>
      <c r="M15" s="3" t="n"/>
      <c r="N15" s="3" t="n"/>
      <c r="O15" s="3" t="n"/>
    </row>
    <row r="16">
      <c r="A16" s="2" t="n">
        <v>15</v>
      </c>
      <c r="B16" s="3" t="n"/>
      <c r="C16" s="3" t="n"/>
      <c r="D16" s="3" t="n"/>
      <c r="E16" s="4" t="n"/>
      <c r="F16" s="3" t="n"/>
      <c r="G16" s="5" t="n"/>
      <c r="H16" s="6">
        <f>IF(F16="Founder",300,IF(F16="Starter",100,""))</f>
        <v/>
      </c>
      <c r="I16" s="4" t="n"/>
      <c r="J16" s="7">
        <f>IF(I16="","",I16+IF(F16="Founder",90,30))</f>
        <v/>
      </c>
      <c r="K16" s="2">
        <f>IF(I16="","NOT LOADED",IF(TODAY()&gt;J16,"EXPIRED",IF(J16-TODAY()&lt;=7,"EXPIRING SOON","ACTIVE")))</f>
        <v/>
      </c>
      <c r="L16" s="7">
        <f>IF(I16="","",I16+90)</f>
        <v/>
      </c>
      <c r="M16" s="3" t="n"/>
      <c r="N16" s="3" t="n"/>
      <c r="O16" s="3" t="n"/>
    </row>
    <row r="17">
      <c r="A17" s="2" t="n">
        <v>16</v>
      </c>
      <c r="B17" s="3" t="n"/>
      <c r="C17" s="3" t="n"/>
      <c r="D17" s="3" t="n"/>
      <c r="E17" s="4" t="n"/>
      <c r="F17" s="3" t="n"/>
      <c r="G17" s="5" t="n"/>
      <c r="H17" s="6">
        <f>IF(F17="Founder",300,IF(F17="Starter",100,""))</f>
        <v/>
      </c>
      <c r="I17" s="4" t="n"/>
      <c r="J17" s="7">
        <f>IF(I17="","",I17+IF(F17="Founder",90,30))</f>
        <v/>
      </c>
      <c r="K17" s="2">
        <f>IF(I17="","NOT LOADED",IF(TODAY()&gt;J17,"EXPIRED",IF(J17-TODAY()&lt;=7,"EXPIRING SOON","ACTIVE")))</f>
        <v/>
      </c>
      <c r="L17" s="7">
        <f>IF(I17="","",I17+90)</f>
        <v/>
      </c>
      <c r="M17" s="3" t="n"/>
      <c r="N17" s="3" t="n"/>
      <c r="O17" s="3" t="n"/>
    </row>
    <row r="18">
      <c r="A18" s="2" t="n">
        <v>17</v>
      </c>
      <c r="B18" s="3" t="n"/>
      <c r="C18" s="3" t="n"/>
      <c r="D18" s="3" t="n"/>
      <c r="E18" s="4" t="n"/>
      <c r="F18" s="3" t="n"/>
      <c r="G18" s="5" t="n"/>
      <c r="H18" s="6">
        <f>IF(F18="Founder",300,IF(F18="Starter",100,""))</f>
        <v/>
      </c>
      <c r="I18" s="4" t="n"/>
      <c r="J18" s="7">
        <f>IF(I18="","",I18+IF(F18="Founder",90,30))</f>
        <v/>
      </c>
      <c r="K18" s="2">
        <f>IF(I18="","NOT LOADED",IF(TODAY()&gt;J18,"EXPIRED",IF(J18-TODAY()&lt;=7,"EXPIRING SOON","ACTIVE")))</f>
        <v/>
      </c>
      <c r="L18" s="7">
        <f>IF(I18="","",I18+90)</f>
        <v/>
      </c>
      <c r="M18" s="3" t="n"/>
      <c r="N18" s="3" t="n"/>
      <c r="O18" s="3" t="n"/>
    </row>
    <row r="19">
      <c r="A19" s="2" t="n">
        <v>18</v>
      </c>
      <c r="B19" s="3" t="n"/>
      <c r="C19" s="3" t="n"/>
      <c r="D19" s="3" t="n"/>
      <c r="E19" s="4" t="n"/>
      <c r="F19" s="3" t="n"/>
      <c r="G19" s="5" t="n"/>
      <c r="H19" s="6">
        <f>IF(F19="Founder",300,IF(F19="Starter",100,""))</f>
        <v/>
      </c>
      <c r="I19" s="4" t="n"/>
      <c r="J19" s="7">
        <f>IF(I19="","",I19+IF(F19="Founder",90,30))</f>
        <v/>
      </c>
      <c r="K19" s="2">
        <f>IF(I19="","NOT LOADED",IF(TODAY()&gt;J19,"EXPIRED",IF(J19-TODAY()&lt;=7,"EXPIRING SOON","ACTIVE")))</f>
        <v/>
      </c>
      <c r="L19" s="7">
        <f>IF(I19="","",I19+90)</f>
        <v/>
      </c>
      <c r="M19" s="3" t="n"/>
      <c r="N19" s="3" t="n"/>
      <c r="O19" s="3" t="n"/>
    </row>
    <row r="20">
      <c r="A20" s="2" t="n">
        <v>19</v>
      </c>
      <c r="B20" s="3" t="n"/>
      <c r="C20" s="3" t="n"/>
      <c r="D20" s="3" t="n"/>
      <c r="E20" s="4" t="n"/>
      <c r="F20" s="3" t="n"/>
      <c r="G20" s="5" t="n"/>
      <c r="H20" s="6">
        <f>IF(F20="Founder",300,IF(F20="Starter",100,""))</f>
        <v/>
      </c>
      <c r="I20" s="4" t="n"/>
      <c r="J20" s="7">
        <f>IF(I20="","",I20+IF(F20="Founder",90,30))</f>
        <v/>
      </c>
      <c r="K20" s="2">
        <f>IF(I20="","NOT LOADED",IF(TODAY()&gt;J20,"EXPIRED",IF(J20-TODAY()&lt;=7,"EXPIRING SOON","ACTIVE")))</f>
        <v/>
      </c>
      <c r="L20" s="7">
        <f>IF(I20="","",I20+90)</f>
        <v/>
      </c>
      <c r="M20" s="3" t="n"/>
      <c r="N20" s="3" t="n"/>
      <c r="O20" s="3" t="n"/>
    </row>
    <row r="21">
      <c r="A21" s="2" t="n">
        <v>20</v>
      </c>
      <c r="B21" s="3" t="n"/>
      <c r="C21" s="3" t="n"/>
      <c r="D21" s="3" t="n"/>
      <c r="E21" s="4" t="n"/>
      <c r="F21" s="3" t="n"/>
      <c r="G21" s="5" t="n"/>
      <c r="H21" s="6">
        <f>IF(F21="Founder",300,IF(F21="Starter",100,""))</f>
        <v/>
      </c>
      <c r="I21" s="4" t="n"/>
      <c r="J21" s="7">
        <f>IF(I21="","",I21+IF(F21="Founder",90,30))</f>
        <v/>
      </c>
      <c r="K21" s="2">
        <f>IF(I21="","NOT LOADED",IF(TODAY()&gt;J21,"EXPIRED",IF(J21-TODAY()&lt;=7,"EXPIRING SOON","ACTIVE")))</f>
        <v/>
      </c>
      <c r="L21" s="7">
        <f>IF(I21="","",I21+90)</f>
        <v/>
      </c>
      <c r="M21" s="3" t="n"/>
      <c r="N21" s="3" t="n"/>
      <c r="O21" s="3" t="n"/>
    </row>
    <row r="22">
      <c r="A22" s="2" t="n">
        <v>21</v>
      </c>
      <c r="B22" s="3" t="n"/>
      <c r="C22" s="3" t="n"/>
      <c r="D22" s="3" t="n"/>
      <c r="E22" s="4" t="n"/>
      <c r="F22" s="3" t="n"/>
      <c r="G22" s="5" t="n"/>
      <c r="H22" s="6">
        <f>IF(F22="Founder",300,IF(F22="Starter",100,""))</f>
        <v/>
      </c>
      <c r="I22" s="4" t="n"/>
      <c r="J22" s="7">
        <f>IF(I22="","",I22+IF(F22="Founder",90,30))</f>
        <v/>
      </c>
      <c r="K22" s="2">
        <f>IF(I22="","NOT LOADED",IF(TODAY()&gt;J22,"EXPIRED",IF(J22-TODAY()&lt;=7,"EXPIRING SOON","ACTIVE")))</f>
        <v/>
      </c>
      <c r="L22" s="7">
        <f>IF(I22="","",I22+90)</f>
        <v/>
      </c>
      <c r="M22" s="3" t="n"/>
      <c r="N22" s="3" t="n"/>
      <c r="O22" s="3" t="n"/>
    </row>
    <row r="23">
      <c r="A23" s="2" t="n">
        <v>22</v>
      </c>
      <c r="B23" s="3" t="n"/>
      <c r="C23" s="3" t="n"/>
      <c r="D23" s="3" t="n"/>
      <c r="E23" s="4" t="n"/>
      <c r="F23" s="3" t="n"/>
      <c r="G23" s="5" t="n"/>
      <c r="H23" s="6">
        <f>IF(F23="Founder",300,IF(F23="Starter",100,""))</f>
        <v/>
      </c>
      <c r="I23" s="4" t="n"/>
      <c r="J23" s="7">
        <f>IF(I23="","",I23+IF(F23="Founder",90,30))</f>
        <v/>
      </c>
      <c r="K23" s="2">
        <f>IF(I23="","NOT LOADED",IF(TODAY()&gt;J23,"EXPIRED",IF(J23-TODAY()&lt;=7,"EXPIRING SOON","ACTIVE")))</f>
        <v/>
      </c>
      <c r="L23" s="7">
        <f>IF(I23="","",I23+90)</f>
        <v/>
      </c>
      <c r="M23" s="3" t="n"/>
      <c r="N23" s="3" t="n"/>
      <c r="O23" s="3" t="n"/>
    </row>
    <row r="24">
      <c r="A24" s="2" t="n">
        <v>23</v>
      </c>
      <c r="B24" s="3" t="n"/>
      <c r="C24" s="3" t="n"/>
      <c r="D24" s="3" t="n"/>
      <c r="E24" s="4" t="n"/>
      <c r="F24" s="3" t="n"/>
      <c r="G24" s="5" t="n"/>
      <c r="H24" s="6">
        <f>IF(F24="Founder",300,IF(F24="Starter",100,""))</f>
        <v/>
      </c>
      <c r="I24" s="4" t="n"/>
      <c r="J24" s="7">
        <f>IF(I24="","",I24+IF(F24="Founder",90,30))</f>
        <v/>
      </c>
      <c r="K24" s="2">
        <f>IF(I24="","NOT LOADED",IF(TODAY()&gt;J24,"EXPIRED",IF(J24-TODAY()&lt;=7,"EXPIRING SOON","ACTIVE")))</f>
        <v/>
      </c>
      <c r="L24" s="7">
        <f>IF(I24="","",I24+90)</f>
        <v/>
      </c>
      <c r="M24" s="3" t="n"/>
      <c r="N24" s="3" t="n"/>
      <c r="O24" s="3" t="n"/>
    </row>
    <row r="25">
      <c r="A25" s="2" t="n">
        <v>24</v>
      </c>
      <c r="B25" s="3" t="n"/>
      <c r="C25" s="3" t="n"/>
      <c r="D25" s="3" t="n"/>
      <c r="E25" s="4" t="n"/>
      <c r="F25" s="3" t="n"/>
      <c r="G25" s="5" t="n"/>
      <c r="H25" s="6">
        <f>IF(F25="Founder",300,IF(F25="Starter",100,""))</f>
        <v/>
      </c>
      <c r="I25" s="4" t="n"/>
      <c r="J25" s="7">
        <f>IF(I25="","",I25+IF(F25="Founder",90,30))</f>
        <v/>
      </c>
      <c r="K25" s="2">
        <f>IF(I25="","NOT LOADED",IF(TODAY()&gt;J25,"EXPIRED",IF(J25-TODAY()&lt;=7,"EXPIRING SOON","ACTIVE")))</f>
        <v/>
      </c>
      <c r="L25" s="7">
        <f>IF(I25="","",I25+90)</f>
        <v/>
      </c>
      <c r="M25" s="3" t="n"/>
      <c r="N25" s="3" t="n"/>
      <c r="O25" s="3" t="n"/>
    </row>
    <row r="26">
      <c r="A26" s="2" t="n">
        <v>25</v>
      </c>
      <c r="B26" s="3" t="n"/>
      <c r="C26" s="3" t="n"/>
      <c r="D26" s="3" t="n"/>
      <c r="E26" s="4" t="n"/>
      <c r="F26" s="3" t="n"/>
      <c r="G26" s="5" t="n"/>
      <c r="H26" s="6">
        <f>IF(F26="Founder",300,IF(F26="Starter",100,""))</f>
        <v/>
      </c>
      <c r="I26" s="4" t="n"/>
      <c r="J26" s="7">
        <f>IF(I26="","",I26+IF(F26="Founder",90,30))</f>
        <v/>
      </c>
      <c r="K26" s="2">
        <f>IF(I26="","NOT LOADED",IF(TODAY()&gt;J26,"EXPIRED",IF(J26-TODAY()&lt;=7,"EXPIRING SOON","ACTIVE")))</f>
        <v/>
      </c>
      <c r="L26" s="7">
        <f>IF(I26="","",I26+90)</f>
        <v/>
      </c>
      <c r="M26" s="3" t="n"/>
      <c r="N26" s="3" t="n"/>
      <c r="O26" s="3" t="n"/>
    </row>
    <row r="27">
      <c r="A27" s="2" t="n">
        <v>26</v>
      </c>
      <c r="B27" s="3" t="n"/>
      <c r="C27" s="3" t="n"/>
      <c r="D27" s="3" t="n"/>
      <c r="E27" s="4" t="n"/>
      <c r="F27" s="3" t="n"/>
      <c r="G27" s="5" t="n"/>
      <c r="H27" s="6">
        <f>IF(F27="Founder",300,IF(F27="Starter",100,""))</f>
        <v/>
      </c>
      <c r="I27" s="4" t="n"/>
      <c r="J27" s="7">
        <f>IF(I27="","",I27+IF(F27="Founder",90,30))</f>
        <v/>
      </c>
      <c r="K27" s="2">
        <f>IF(I27="","NOT LOADED",IF(TODAY()&gt;J27,"EXPIRED",IF(J27-TODAY()&lt;=7,"EXPIRING SOON","ACTIVE")))</f>
        <v/>
      </c>
      <c r="L27" s="7">
        <f>IF(I27="","",I27+90)</f>
        <v/>
      </c>
      <c r="M27" s="3" t="n"/>
      <c r="N27" s="3" t="n"/>
      <c r="O27" s="3" t="n"/>
    </row>
    <row r="28">
      <c r="A28" s="2" t="n">
        <v>27</v>
      </c>
      <c r="B28" s="3" t="n"/>
      <c r="C28" s="3" t="n"/>
      <c r="D28" s="3" t="n"/>
      <c r="E28" s="4" t="n"/>
      <c r="F28" s="3" t="n"/>
      <c r="G28" s="5" t="n"/>
      <c r="H28" s="6">
        <f>IF(F28="Founder",300,IF(F28="Starter",100,""))</f>
        <v/>
      </c>
      <c r="I28" s="4" t="n"/>
      <c r="J28" s="7">
        <f>IF(I28="","",I28+IF(F28="Founder",90,30))</f>
        <v/>
      </c>
      <c r="K28" s="2">
        <f>IF(I28="","NOT LOADED",IF(TODAY()&gt;J28,"EXPIRED",IF(J28-TODAY()&lt;=7,"EXPIRING SOON","ACTIVE")))</f>
        <v/>
      </c>
      <c r="L28" s="7">
        <f>IF(I28="","",I28+90)</f>
        <v/>
      </c>
      <c r="M28" s="3" t="n"/>
      <c r="N28" s="3" t="n"/>
      <c r="O28" s="3" t="n"/>
    </row>
    <row r="29">
      <c r="A29" s="2" t="n">
        <v>28</v>
      </c>
      <c r="B29" s="3" t="n"/>
      <c r="C29" s="3" t="n"/>
      <c r="D29" s="3" t="n"/>
      <c r="E29" s="4" t="n"/>
      <c r="F29" s="3" t="n"/>
      <c r="G29" s="5" t="n"/>
      <c r="H29" s="6">
        <f>IF(F29="Founder",300,IF(F29="Starter",100,""))</f>
        <v/>
      </c>
      <c r="I29" s="4" t="n"/>
      <c r="J29" s="7">
        <f>IF(I29="","",I29+IF(F29="Founder",90,30))</f>
        <v/>
      </c>
      <c r="K29" s="2">
        <f>IF(I29="","NOT LOADED",IF(TODAY()&gt;J29,"EXPIRED",IF(J29-TODAY()&lt;=7,"EXPIRING SOON","ACTIVE")))</f>
        <v/>
      </c>
      <c r="L29" s="7">
        <f>IF(I29="","",I29+90)</f>
        <v/>
      </c>
      <c r="M29" s="3" t="n"/>
      <c r="N29" s="3" t="n"/>
      <c r="O29" s="3" t="n"/>
    </row>
    <row r="30">
      <c r="A30" s="2" t="n">
        <v>29</v>
      </c>
      <c r="B30" s="3" t="n"/>
      <c r="C30" s="3" t="n"/>
      <c r="D30" s="3" t="n"/>
      <c r="E30" s="4" t="n"/>
      <c r="F30" s="3" t="n"/>
      <c r="G30" s="5" t="n"/>
      <c r="H30" s="6">
        <f>IF(F30="Founder",300,IF(F30="Starter",100,""))</f>
        <v/>
      </c>
      <c r="I30" s="4" t="n"/>
      <c r="J30" s="7">
        <f>IF(I30="","",I30+IF(F30="Founder",90,30))</f>
        <v/>
      </c>
      <c r="K30" s="2">
        <f>IF(I30="","NOT LOADED",IF(TODAY()&gt;J30,"EXPIRED",IF(J30-TODAY()&lt;=7,"EXPIRING SOON","ACTIVE")))</f>
        <v/>
      </c>
      <c r="L30" s="7">
        <f>IF(I30="","",I30+90)</f>
        <v/>
      </c>
      <c r="M30" s="3" t="n"/>
      <c r="N30" s="3" t="n"/>
      <c r="O30" s="3" t="n"/>
    </row>
    <row r="31">
      <c r="A31" s="2" t="n">
        <v>30</v>
      </c>
      <c r="B31" s="3" t="n"/>
      <c r="C31" s="3" t="n"/>
      <c r="D31" s="3" t="n"/>
      <c r="E31" s="4" t="n"/>
      <c r="F31" s="3" t="n"/>
      <c r="G31" s="5" t="n"/>
      <c r="H31" s="6">
        <f>IF(F31="Founder",300,IF(F31="Starter",100,""))</f>
        <v/>
      </c>
      <c r="I31" s="4" t="n"/>
      <c r="J31" s="7">
        <f>IF(I31="","",I31+IF(F31="Founder",90,30))</f>
        <v/>
      </c>
      <c r="K31" s="2">
        <f>IF(I31="","NOT LOADED",IF(TODAY()&gt;J31,"EXPIRED",IF(J31-TODAY()&lt;=7,"EXPIRING SOON","ACTIVE")))</f>
        <v/>
      </c>
      <c r="L31" s="7">
        <f>IF(I31="","",I31+90)</f>
        <v/>
      </c>
      <c r="M31" s="3" t="n"/>
      <c r="N31" s="3" t="n"/>
      <c r="O31" s="3" t="n"/>
    </row>
  </sheetData>
  <conditionalFormatting sqref="K2:K31">
    <cfRule type="cellIs" priority="1" operator="equal" dxfId="0">
      <formula>"EXPIRED"</formula>
    </cfRule>
    <cfRule type="cellIs" priority="2" operator="equal" dxfId="1">
      <formula>"EXPIRING SOON"</formula>
    </cfRule>
    <cfRule type="cellIs" priority="3" operator="equal" dxfId="2">
      <formula>"ACTIVE"</formula>
    </cfRule>
  </conditionalFormatting>
  <conditionalFormatting sqref="A2:A31">
    <cfRule type="expression" priority="4" dxfId="3">
      <formula>$A2&gt;25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8" t="inlineStr">
        <is>
          <t>Lala Wash — Founding 25 Tracker</t>
        </is>
      </c>
    </row>
    <row r="3">
      <c r="A3" s="9" t="inlineStr">
        <is>
          <t>Slots reserved</t>
        </is>
      </c>
      <c r="B3" s="10">
        <f>COUNTA(Members!B2:B31)</f>
        <v/>
      </c>
    </row>
    <row r="4">
      <c r="A4" s="9" t="inlineStr">
        <is>
          <t>Slots remaining (of 25)</t>
        </is>
      </c>
      <c r="B4" s="10">
        <f>25-COUNTA(Members!B2:B26)</f>
        <v/>
      </c>
    </row>
    <row r="5">
      <c r="A5" s="9" t="inlineStr">
        <is>
          <t>Members loaded (paid)</t>
        </is>
      </c>
      <c r="B5" s="10">
        <f>COUNT(Members!I2:I31)</f>
        <v/>
      </c>
    </row>
    <row r="6">
      <c r="A6" s="9" t="inlineStr">
        <is>
          <t>Perks ACTIVE</t>
        </is>
      </c>
      <c r="B6" s="10">
        <f>COUNTIF(Members!K2:K31,"ACTIVE")</f>
        <v/>
      </c>
    </row>
    <row r="7">
      <c r="A7" s="9" t="inlineStr">
        <is>
          <t>Perks EXPIRING SOON (≤7 days)</t>
        </is>
      </c>
      <c r="B7" s="10">
        <f>COUNTIF(Members!K2:K31,"EXPIRING SOON")</f>
        <v/>
      </c>
    </row>
    <row r="8">
      <c r="A8" s="9" t="inlineStr">
        <is>
          <t>Perks EXPIRED</t>
        </is>
      </c>
      <c r="B8" s="10">
        <f>COUNTIF(Members!K2:K31,"EXPIRED")</f>
        <v/>
      </c>
    </row>
    <row r="9">
      <c r="A9" s="9" t="inlineStr">
        <is>
          <t>Total cash loaded</t>
        </is>
      </c>
      <c r="B9" s="11">
        <f>SUM(Members!G2:G31)</f>
        <v/>
      </c>
    </row>
    <row r="10">
      <c r="A10" s="9" t="inlineStr">
        <is>
          <t>Total bonus credits given</t>
        </is>
      </c>
      <c r="B10" s="11">
        <f>SUM(Members!H2:H31)</f>
        <v/>
      </c>
    </row>
    <row r="11">
      <c r="A11" s="9" t="inlineStr">
        <is>
          <t>Founder count</t>
        </is>
      </c>
      <c r="B11" s="10">
        <f>COUNTIF(Members!F2:F31,"Founder")</f>
        <v/>
      </c>
    </row>
    <row r="12">
      <c r="A12" s="9" t="inlineStr">
        <is>
          <t>Starter count</t>
        </is>
      </c>
      <c r="B12" s="10">
        <f>COUNTIF(Members!F2:F31,"Starter")</f>
        <v/>
      </c>
    </row>
    <row r="15">
      <c r="A15" s="12" t="inlineStr">
        <is>
          <t>How to use</t>
        </is>
      </c>
    </row>
    <row r="16">
      <c r="A16" s="13" t="inlineStr">
        <is>
          <t>Blue cells in Members = you type these (name, mobile, tier, dates…).</t>
        </is>
      </c>
    </row>
    <row r="17">
      <c r="A17" s="14" t="inlineStr">
        <is>
          <t>Black cells = automatic formulas — do not edit.</t>
        </is>
      </c>
    </row>
    <row r="18">
      <c r="A18" s="14" t="inlineStr">
        <is>
          <t>Tier must be exactly: Founder or Starter.</t>
        </is>
      </c>
    </row>
    <row r="19">
      <c r="A19" s="14" t="inlineStr">
        <is>
          <t>Perks Expiry auto-computes: First Load + 90 days (Founder) / + 30 days (Starter).</t>
        </is>
      </c>
    </row>
    <row r="20">
      <c r="A20" s="14" t="inlineStr">
        <is>
          <t>Bonus Credits Expiry = First Load + 90 days.</t>
        </is>
      </c>
    </row>
    <row r="21">
      <c r="A21" s="14" t="inlineStr">
        <is>
          <t>Status colors: green ACTIVE, yellow EXPIRING SOON (≤7 days), red EXPIRED.</t>
        </is>
      </c>
    </row>
    <row r="22">
      <c r="A22" s="14" t="inlineStr">
        <is>
          <t>Rows 26-31 (slot 26+) are overflow/waitlist — grey slot numbers.</t>
        </is>
      </c>
    </row>
    <row r="23">
      <c r="A23" s="14" t="inlineStr">
        <is>
          <t>Row 2 of Members is an example — replace it with your first real member.</t>
        </is>
      </c>
    </row>
    <row r="24">
      <c r="A24" s="14" t="inlineStr">
        <is>
          <t>Perk durations set per owner decision, 2026-07-17 (no source doc).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2026-07-17T13:56:33Z</dcterms:created>
  <dcterms:modified xsi:type="dcterms:W3CDTF">2026-07-17T13:56:33Z</dcterms:modified>
</cp:coreProperties>
</file>